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8B482E6B-F53A-4215-85D1-6891C79AAB4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definedNames>
    <definedName name="aporte">Planilha1!$C$18:$C$18</definedName>
    <definedName name="patrimonio">Planilha1!$C$21:$C$21</definedName>
    <definedName name="qtd_anos">Planilha1!$C$19:$C$19</definedName>
    <definedName name="rendimento_carteira">Planilha1!$C$14:$C$14</definedName>
    <definedName name="salario">Planilha1!$C$13:$C$13</definedName>
    <definedName name="sugestao_investimento">Planilha1!$C$15:$C$15</definedName>
    <definedName name="taxa_mensal">Planilha1!$C$20:$C$20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3" i="1" a="1"/>
  <c r="C33" i="1"/>
  <c r="C21" i="1" a="1"/>
  <c r="C21" i="1"/>
  <c r="C22" i="1" a="1"/>
  <c r="C22" i="1"/>
  <c r="C15" i="1" a="1"/>
  <c r="C15" i="1"/>
  <c r="C25" i="1"/>
  <c r="D25" i="1" a="1"/>
  <c r="D25" i="1"/>
  <c r="C26" i="1"/>
  <c r="D26" i="1" s="1" a="1"/>
  <c r="D26" i="1" s="1"/>
  <c r="C27" i="1"/>
  <c r="D27" i="1" s="1" a="1"/>
  <c r="D27" i="1" s="1"/>
  <c r="C28" i="1"/>
  <c r="D28" i="1" s="1" a="1"/>
  <c r="D28" i="1" s="1"/>
  <c r="C29" i="1"/>
  <c r="D29" i="1" s="1" a="1"/>
  <c r="D29" i="1" s="1"/>
  <c r="D37" i="1" l="1"/>
  <c r="D38" i="1"/>
  <c r="D39" i="1"/>
  <c r="D40" i="1"/>
  <c r="D41" i="1"/>
  <c r="D36" i="1"/>
  <c r="D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<sst xmlns="http://schemas.openxmlformats.org/spreadsheetml/2006/main" count="69" uniqueCount="33">
  <si>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</si>
  <si>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</si>
  <si>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</si>
  <si>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</si>
  <si>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</si>
  <si>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</si>
  <si>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</si>
  <si>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</si>
  <si>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</si>
  <si>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</si>
  <si>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</si>
  <si>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</si>
  <si>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</si>
  <si>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</si>
  <si>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Quantos em 10 anos?</t>
  </si>
  <si>
    <t>Quanto em 20 anos?</t>
  </si>
  <si>
    <t>Quanto em 30 anos?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</si>
  <si>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</si>
  <si>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</si>
  <si>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</si>
  <si>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</si>
  <si>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</si>
  <si>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</si>
  <si>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</si>
  <si>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</si>
  <si>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</si>
  <si>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</si>
  <si>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</si>
  <si>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</si>
  <si>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CHAVE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</si>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</sst>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>
    <font>
      <sz val="11"/>
      <color theme="1"/>
      <name val="Calibri"/>
      <family val="2"/>
      <scheme val="minor"/>
    </font>
    <font>
      <b/>
      <sz val="14"/>
      <color rgb="FFFFFFFF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FFFFFF"/>
      <name val="Calibri"/>
      <scheme val="minor"/>
    </font>
    <font>
      <b/>
      <sz val="20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2" tint="-9.9978637043366805E-2"/>
      </left>
      <right style="medium">
        <color theme="1"/>
      </right>
      <top style="medium">
        <color theme="1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medium">
        <color theme="1"/>
      </left>
      <right style="thin">
        <color theme="2"/>
      </right>
      <top style="thin">
        <color rgb="FF000000"/>
      </top>
      <bottom style="thin">
        <color theme="2"/>
      </bottom>
      <diagonal/>
    </border>
    <border>
      <left style="thin">
        <color theme="2"/>
      </left>
      <right style="thin">
        <color theme="2" tint="-9.9978637043366805E-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 tint="-9.9978637043366805E-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 tint="-9.9978637043366805E-2"/>
      </right>
      <top style="thin">
        <color theme="2"/>
      </top>
      <bottom style="medium">
        <color theme="1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thin">
        <color theme="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rgb="FF000000"/>
      </bottom>
      <diagonal/>
    </border>
    <border>
      <left/>
      <right style="medium">
        <color theme="1"/>
      </right>
      <top style="medium">
        <color theme="1"/>
      </top>
      <bottom style="thin">
        <color rgb="FF000000"/>
      </bottom>
      <diagonal/>
    </border>
    <border>
      <left/>
      <right style="medium">
        <color theme="1"/>
      </right>
      <top style="thin">
        <color rgb="FF000000"/>
      </top>
      <bottom style="thin">
        <color theme="2"/>
      </bottom>
      <diagonal/>
    </border>
    <border>
      <left/>
      <right style="medium">
        <color theme="1"/>
      </right>
      <top style="thin">
        <color theme="2"/>
      </top>
      <bottom style="thin">
        <color theme="2"/>
      </bottom>
      <diagonal/>
    </border>
    <border>
      <left/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2"/>
      </left>
      <right/>
      <top style="thin">
        <color rgb="FF000000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5" fillId="5" borderId="0" xfId="0" applyFont="1" applyFill="1"/>
    <xf numFmtId="9" fontId="0" fillId="0" borderId="0" xfId="0" applyNumberFormat="1"/>
    <xf numFmtId="0" fontId="4" fillId="2" borderId="2" xfId="0" applyFont="1" applyFill="1" applyBorder="1" applyAlignment="1">
      <alignment horizontal="left"/>
    </xf>
    <xf numFmtId="0" fontId="6" fillId="0" borderId="0" xfId="0" applyFont="1"/>
    <xf numFmtId="0" fontId="6" fillId="3" borderId="5" xfId="0" applyFont="1" applyFill="1" applyBorder="1"/>
    <xf numFmtId="0" fontId="6" fillId="3" borderId="7" xfId="0" applyFont="1" applyFill="1" applyBorder="1"/>
    <xf numFmtId="0" fontId="6" fillId="0" borderId="9" xfId="0" applyFont="1" applyBorder="1"/>
    <xf numFmtId="0" fontId="6" fillId="0" borderId="5" xfId="0" applyFont="1" applyBorder="1"/>
    <xf numFmtId="0" fontId="7" fillId="3" borderId="5" xfId="0" applyFont="1" applyFill="1" applyBorder="1"/>
    <xf numFmtId="0" fontId="7" fillId="3" borderId="7" xfId="0" applyFont="1" applyFill="1" applyBorder="1"/>
    <xf numFmtId="8" fontId="0" fillId="3" borderId="11" xfId="0" applyNumberFormat="1" applyFill="1" applyBorder="1" applyAlignment="1">
      <alignment horizontal="center"/>
    </xf>
    <xf numFmtId="8" fontId="0" fillId="3" borderId="12" xfId="0" applyNumberFormat="1" applyFill="1" applyBorder="1" applyAlignment="1">
      <alignment horizontal="center"/>
    </xf>
    <xf numFmtId="8" fontId="0" fillId="3" borderId="13" xfId="0" applyNumberFormat="1" applyFill="1" applyBorder="1" applyAlignment="1">
      <alignment horizontal="center"/>
    </xf>
    <xf numFmtId="8" fontId="0" fillId="3" borderId="14" xfId="0" applyNumberFormat="1" applyFill="1" applyBorder="1" applyAlignment="1">
      <alignment horizontal="center"/>
    </xf>
    <xf numFmtId="8" fontId="0" fillId="3" borderId="15" xfId="0" applyNumberFormat="1" applyFill="1" applyBorder="1" applyAlignment="1">
      <alignment horizontal="center"/>
    </xf>
    <xf numFmtId="0" fontId="1" fillId="2" borderId="1" xfId="0" applyFont="1" applyFill="1" applyBorder="1" applyAlignment="1"/>
    <xf numFmtId="0" fontId="0" fillId="0" borderId="0" xfId="0" applyAlignment="1">
      <alignment horizontal="center"/>
    </xf>
    <xf numFmtId="164" fontId="0" fillId="0" borderId="6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0" fontId="0" fillId="0" borderId="21" xfId="0" applyNumberFormat="1" applyBorder="1" applyAlignment="1">
      <alignment horizontal="center"/>
    </xf>
    <xf numFmtId="164" fontId="0" fillId="3" borderId="2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0" fontId="9" fillId="4" borderId="2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/>
    </xf>
    <xf numFmtId="0" fontId="8" fillId="2" borderId="17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0" fillId="6" borderId="0" xfId="0" applyFill="1"/>
    <xf numFmtId="0" fontId="10" fillId="6" borderId="0" xfId="0" applyFont="1" applyFill="1"/>
    <xf numFmtId="164" fontId="0" fillId="0" borderId="0" xfId="0" applyNumberFormat="1"/>
    <xf numFmtId="0" fontId="2" fillId="3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Fill="1"/>
    <xf numFmtId="164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Fill="1"/>
    <xf numFmtId="0" fontId="0" fillId="0" borderId="25" xfId="0" applyBorder="1"/>
    <xf numFmtId="0" fontId="0" fillId="0" borderId="25" xfId="0" applyBorder="1" applyAlignment="1">
      <alignment horizontal="center"/>
    </xf>
    <xf numFmtId="0" fontId="0" fillId="0" borderId="25" xfId="0" applyFill="1" applyBorder="1"/>
    <xf numFmtId="9" fontId="0" fillId="0" borderId="25" xfId="0" applyNumberFormat="1" applyBorder="1" applyAlignment="1">
      <alignment horizontal="center"/>
    </xf>
    <xf numFmtId="0" fontId="10" fillId="6" borderId="0" xfId="0" applyFont="1" applyFill="1" applyAlignment="1">
      <alignment horizontal="center"/>
    </xf>
    <xf numFmtId="164" fontId="2" fillId="0" borderId="26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0" fontId="2" fillId="0" borderId="22" xfId="0" applyNumberFormat="1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8" fontId="2" fillId="3" borderId="22" xfId="0" applyNumberFormat="1" applyFont="1" applyFill="1" applyBorder="1" applyAlignment="1">
      <alignment horizontal="center"/>
    </xf>
    <xf numFmtId="8" fontId="2" fillId="3" borderId="19" xfId="0" applyNumberFormat="1" applyFont="1" applyFill="1" applyBorder="1" applyAlignment="1">
      <alignment horizontal="center"/>
    </xf>
    <xf numFmtId="8" fontId="2" fillId="3" borderId="27" xfId="0" applyNumberFormat="1" applyFont="1" applyFill="1" applyBorder="1" applyAlignment="1">
      <alignment horizontal="center"/>
    </xf>
    <xf numFmtId="8" fontId="2" fillId="3" borderId="20" xfId="0" applyNumberFormat="1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9-49CB-B3AE-BAC1484112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47625</xdr:rowOff>
    </xdr:from>
    <xdr:to>
      <xdr:col>4</xdr:col>
      <xdr:colOff>9525</xdr:colOff>
      <xdr:row>9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672B58F-EF46-644B-A8B8-60E73548B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47625"/>
          <a:ext cx="7620000" cy="182880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43</xdr:row>
      <xdr:rowOff>66675</xdr:rowOff>
    </xdr:from>
    <xdr:to>
      <xdr:col>4</xdr:col>
      <xdr:colOff>0</xdr:colOff>
      <xdr:row>61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9C1D69-723A-4167-641D-DC0697B8B62A}"/>
            </a:ext>
            <a:ext uri="{147F2762-F138-4A5C-976F-8EAC2B608ADB}">
              <a16:predDERef xmlns:a16="http://schemas.microsoft.com/office/drawing/2014/main" pred="{0672B58F-EF46-644B-A8B8-60E73548B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showGridLines="0" tabSelected="1" topLeftCell="B27" workbookViewId="0">
      <selection activeCell="C32" sqref="C32"/>
    </sheetView>
  </sheetViews>
  <sheetFormatPr defaultColWidth="0" defaultRowHeight="15"/>
  <cols>
    <col min="1" max="1" width="3.140625" customWidth="1"/>
    <col min="2" max="2" width="44.42578125" customWidth="1"/>
    <col min="3" max="3" width="54" customWidth="1"/>
    <col min="4" max="4" width="15.7109375" customWidth="1"/>
    <col min="5" max="5" width="4.42578125" customWidth="1"/>
    <col min="6" max="6" width="5.7109375" customWidth="1"/>
    <col min="7" max="7" width="3" customWidth="1"/>
    <col min="8" max="8" width="4.140625" customWidth="1"/>
    <col min="9" max="11" width="9.140625" hidden="1" customWidth="1"/>
  </cols>
  <sheetData>
    <row r="11" spans="2:4" ht="12" customHeight="1"/>
    <row r="12" spans="2:4" ht="26.25">
      <c r="B12" s="27" t="s">
        <v>0</v>
      </c>
      <c r="C12" s="25"/>
      <c r="D12" s="26"/>
    </row>
    <row r="13" spans="2:4" ht="15.75">
      <c r="B13" s="6" t="s">
        <v>1</v>
      </c>
      <c r="C13" s="21">
        <v>3000</v>
      </c>
      <c r="D13" s="19"/>
    </row>
    <row r="14" spans="2:4" ht="15.75">
      <c r="B14" s="6" t="s">
        <v>2</v>
      </c>
      <c r="C14" s="22">
        <v>6.0000000000000001E-3</v>
      </c>
      <c r="D14" s="20"/>
    </row>
    <row r="15" spans="2:4" ht="15.75">
      <c r="B15" s="7" t="s">
        <v>3</v>
      </c>
      <c r="C15" s="23" cm="1">
        <f t="array" ref="C15">salario*30%</f>
        <v>900</v>
      </c>
      <c r="D15" s="24"/>
    </row>
    <row r="17" spans="1:7" ht="26.25">
      <c r="B17" s="28" t="s">
        <v>4</v>
      </c>
      <c r="C17" s="29"/>
      <c r="D17" s="17"/>
      <c r="G17" s="2"/>
    </row>
    <row r="18" spans="1:7" ht="15" customHeight="1">
      <c r="B18" s="8" t="s">
        <v>5</v>
      </c>
      <c r="C18" s="49">
        <v>200</v>
      </c>
      <c r="D18" s="50"/>
    </row>
    <row r="19" spans="1:7" ht="15" customHeight="1">
      <c r="B19" s="9" t="s">
        <v>6</v>
      </c>
      <c r="C19" s="57">
        <v>5</v>
      </c>
      <c r="D19" s="58"/>
    </row>
    <row r="20" spans="1:7" ht="15" customHeight="1">
      <c r="B20" s="9" t="s">
        <v>7</v>
      </c>
      <c r="C20" s="51">
        <v>1.0789999999999999E-2</v>
      </c>
      <c r="D20" s="52"/>
    </row>
    <row r="21" spans="1:7" ht="15" customHeight="1">
      <c r="B21" s="10" t="s">
        <v>8</v>
      </c>
      <c r="C21" s="53" cm="1">
        <f t="array" ref="C21">FV(taxa_mensal,qtd_anos*12,aporte*-1)</f>
        <v>16755.382799697527</v>
      </c>
      <c r="D21" s="54"/>
    </row>
    <row r="22" spans="1:7" ht="15" customHeight="1">
      <c r="B22" s="11" t="s">
        <v>9</v>
      </c>
      <c r="C22" s="55" cm="1">
        <f t="array" ref="C22">patrimonio*1%</f>
        <v>167.55382799697529</v>
      </c>
      <c r="D22" s="56"/>
      <c r="F22" s="3"/>
    </row>
    <row r="23" spans="1:7" ht="15.75">
      <c r="B23" s="5"/>
    </row>
    <row r="24" spans="1:7" ht="26.25">
      <c r="B24" s="30" t="s">
        <v>10</v>
      </c>
      <c r="C24" s="31"/>
      <c r="D24" s="4" t="s">
        <v>11</v>
      </c>
    </row>
    <row r="25" spans="1:7" ht="15.75">
      <c r="A25" s="1">
        <v>2</v>
      </c>
      <c r="B25" s="6" t="s">
        <v>12</v>
      </c>
      <c r="C25" s="12">
        <f>FV($C$20,$A25*12,$C$18*-1)</f>
        <v>5445.5254595290435</v>
      </c>
      <c r="D25" s="14" cm="1">
        <f t="array" ref="D25">C25*rendimento_carteira</f>
        <v>32.673152757174265</v>
      </c>
    </row>
    <row r="26" spans="1:7" ht="15.75">
      <c r="A26" s="1">
        <v>5</v>
      </c>
      <c r="B26" s="6" t="s">
        <v>13</v>
      </c>
      <c r="C26" s="12">
        <f t="shared" ref="C26:C29" si="0">FV($C$20,$A26*12,$C$18*-1)</f>
        <v>16755.382799697527</v>
      </c>
      <c r="D26" s="15" cm="1">
        <f t="array" ref="D26">C26*rendimento_carteira</f>
        <v>100.53229679818516</v>
      </c>
    </row>
    <row r="27" spans="1:7" ht="15.75">
      <c r="A27" s="1">
        <v>10</v>
      </c>
      <c r="B27" s="6" t="s">
        <v>14</v>
      </c>
      <c r="C27" s="12">
        <f t="shared" si="0"/>
        <v>48656.842506034438</v>
      </c>
      <c r="D27" s="15" cm="1">
        <f t="array" ref="D27">C27*rendimento_carteira</f>
        <v>291.94105503620665</v>
      </c>
    </row>
    <row r="28" spans="1:7" ht="15.75">
      <c r="A28" s="1">
        <v>20</v>
      </c>
      <c r="B28" s="6" t="s">
        <v>15</v>
      </c>
      <c r="C28" s="12">
        <f t="shared" si="0"/>
        <v>225039.68001941612</v>
      </c>
      <c r="D28" s="15" cm="1">
        <f t="array" ref="D28">C28*rendimento_carteira</f>
        <v>1350.2380801164968</v>
      </c>
    </row>
    <row r="29" spans="1:7" ht="15.75">
      <c r="A29" s="1">
        <v>30</v>
      </c>
      <c r="B29" s="7" t="s">
        <v>16</v>
      </c>
      <c r="C29" s="13">
        <f t="shared" si="0"/>
        <v>864433.93100094295</v>
      </c>
      <c r="D29" s="16" cm="1">
        <f t="array" ref="D29">C29*rendimento_carteira</f>
        <v>5186.6035860056581</v>
      </c>
    </row>
    <row r="32" spans="1:7">
      <c r="B32" s="33" t="s">
        <v>17</v>
      </c>
      <c r="C32" s="48" t="s">
        <v>18</v>
      </c>
      <c r="D32" s="32"/>
    </row>
    <row r="33" spans="1:8" s="36" customFormat="1">
      <c r="B33" s="35" t="s">
        <v>19</v>
      </c>
      <c r="C33" s="38" cm="1">
        <f t="array" ref="C33">aporte</f>
        <v>200</v>
      </c>
      <c r="D33" s="35"/>
    </row>
    <row r="34" spans="1:8">
      <c r="C34" s="34"/>
    </row>
    <row r="35" spans="1:8" s="37" customFormat="1">
      <c r="B35" s="42" t="s">
        <v>20</v>
      </c>
      <c r="C35" s="42" t="s">
        <v>21</v>
      </c>
      <c r="D35" s="42" t="s">
        <v>22</v>
      </c>
    </row>
    <row r="36" spans="1:8">
      <c r="B36" s="18" t="s">
        <v>23</v>
      </c>
      <c r="C36" s="39">
        <f>VLOOKUP($C$32&amp;"-"&amp;B36,Planilha2!A:D,4,FALSE)</f>
        <v>0.32</v>
      </c>
      <c r="D36" s="41">
        <f>C36*$C$33</f>
        <v>64</v>
      </c>
    </row>
    <row r="37" spans="1:8">
      <c r="B37" s="18" t="s">
        <v>24</v>
      </c>
      <c r="C37" s="39">
        <f>VLOOKUP($C$32&amp;"-"&amp;B37,Planilha2!A:D,4,FALSE)</f>
        <v>0.35</v>
      </c>
      <c r="D37" s="41">
        <f t="shared" ref="D37:D41" si="1">C37*$C$33</f>
        <v>70</v>
      </c>
    </row>
    <row r="38" spans="1:8">
      <c r="B38" s="18" t="s">
        <v>25</v>
      </c>
      <c r="C38" s="39">
        <f>VLOOKUP($C$32&amp;"-"&amp;B38,Planilha2!A:D,4,FALSE)</f>
        <v>0.08</v>
      </c>
      <c r="D38" s="41">
        <f t="shared" si="1"/>
        <v>16</v>
      </c>
    </row>
    <row r="39" spans="1:8">
      <c r="B39" s="18" t="s">
        <v>26</v>
      </c>
      <c r="C39" s="39">
        <f>VLOOKUP($C$32&amp;"-"&amp;B39,Planilha2!A:D,4,FALSE)</f>
        <v>0.05</v>
      </c>
      <c r="D39" s="41">
        <f t="shared" si="1"/>
        <v>10</v>
      </c>
    </row>
    <row r="40" spans="1:8">
      <c r="B40" s="18" t="s">
        <v>27</v>
      </c>
      <c r="C40" s="39">
        <f>VLOOKUP($C$32&amp;"-"&amp;B40,Planilha2!A:D,4,FALSE)</f>
        <v>0.1</v>
      </c>
      <c r="D40" s="41">
        <f t="shared" si="1"/>
        <v>20</v>
      </c>
    </row>
    <row r="41" spans="1:8">
      <c r="B41" s="18" t="s">
        <v>28</v>
      </c>
      <c r="C41" s="39">
        <f>VLOOKUP($C$32&amp;"-"&amp;B41,Planilha2!A:D,4,FALSE)</f>
        <v>0.1</v>
      </c>
      <c r="D41" s="41">
        <f t="shared" si="1"/>
        <v>20</v>
      </c>
    </row>
    <row r="42" spans="1:8" s="35" customFormat="1">
      <c r="A42" s="40"/>
      <c r="D42" s="38">
        <f>SUM(D36:D41)</f>
        <v>200</v>
      </c>
      <c r="E42" s="40"/>
      <c r="F42" s="40"/>
      <c r="G42" s="40"/>
      <c r="H42" s="40"/>
    </row>
  </sheetData>
  <mergeCells count="11">
    <mergeCell ref="C20:D20"/>
    <mergeCell ref="C21:D21"/>
    <mergeCell ref="C22:D22"/>
    <mergeCell ref="C19:D19"/>
    <mergeCell ref="B17:C17"/>
    <mergeCell ref="B24:C24"/>
    <mergeCell ref="C12:D12"/>
    <mergeCell ref="C13:D13"/>
    <mergeCell ref="C14:D14"/>
    <mergeCell ref="C15:D15"/>
    <mergeCell ref="C18:D18"/>
  </mergeCells>
  <dataValidations count="1">
    <dataValidation type="list" allowBlank="1" showInputMessage="1" showErrorMessage="1" sqref="C32" xr:uid="{68EB5DE8-99F1-44F7-9162-922298AF2A3F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8104-E734-4A5D-9631-3F988531F3F4}">
  <dimension ref="A2:D20"/>
  <sheetViews>
    <sheetView workbookViewId="0">
      <selection activeCell="E13" sqref="E13"/>
    </sheetView>
  </sheetViews>
  <sheetFormatPr defaultRowHeight="15"/>
  <cols>
    <col min="1" max="1" width="31.28515625" bestFit="1" customWidth="1"/>
    <col min="2" max="2" width="12.140625" bestFit="1" customWidth="1"/>
    <col min="3" max="3" width="21.7109375" customWidth="1"/>
    <col min="4" max="4" width="9.140625" style="18"/>
  </cols>
  <sheetData>
    <row r="2" spans="1:4">
      <c r="A2" t="s">
        <v>29</v>
      </c>
      <c r="B2" s="18" t="s">
        <v>17</v>
      </c>
      <c r="C2" s="18" t="s">
        <v>20</v>
      </c>
      <c r="D2" s="18" t="s">
        <v>30</v>
      </c>
    </row>
    <row r="3" spans="1:4">
      <c r="A3" t="str">
        <f>$B$3&amp;"-"&amp;C3</f>
        <v>Conservador-PAPEL</v>
      </c>
      <c r="B3" s="43" t="s">
        <v>31</v>
      </c>
      <c r="C3" s="18" t="s">
        <v>23</v>
      </c>
      <c r="D3" s="39">
        <v>0.3</v>
      </c>
    </row>
    <row r="4" spans="1:4">
      <c r="A4" t="str">
        <f t="shared" ref="A4:A20" si="0">$B$3&amp;"-"&amp;C4</f>
        <v>Conservador-TIJOLO</v>
      </c>
      <c r="B4" s="43" t="s">
        <v>31</v>
      </c>
      <c r="C4" s="18" t="s">
        <v>24</v>
      </c>
      <c r="D4" s="39">
        <v>0.5</v>
      </c>
    </row>
    <row r="5" spans="1:4">
      <c r="A5" t="str">
        <f t="shared" si="0"/>
        <v>Conservador-HIBRIDOS</v>
      </c>
      <c r="B5" s="43" t="s">
        <v>31</v>
      </c>
      <c r="C5" s="18" t="s">
        <v>25</v>
      </c>
      <c r="D5" s="39">
        <v>0.1</v>
      </c>
    </row>
    <row r="6" spans="1:4">
      <c r="A6" t="str">
        <f t="shared" si="0"/>
        <v>Conservador-FOFs</v>
      </c>
      <c r="B6" s="43" t="s">
        <v>31</v>
      </c>
      <c r="C6" s="18" t="s">
        <v>26</v>
      </c>
      <c r="D6" s="39">
        <v>0.1</v>
      </c>
    </row>
    <row r="7" spans="1:4">
      <c r="A7" t="str">
        <f t="shared" si="0"/>
        <v>Conservador-DESENVOLVIMENTO</v>
      </c>
      <c r="B7" s="43" t="s">
        <v>31</v>
      </c>
      <c r="C7" s="18" t="s">
        <v>27</v>
      </c>
      <c r="D7" s="39">
        <v>0</v>
      </c>
    </row>
    <row r="8" spans="1:4">
      <c r="A8" s="44" t="str">
        <f t="shared" si="0"/>
        <v>Conservador-HOTELARIAS</v>
      </c>
      <c r="B8" s="46" t="s">
        <v>31</v>
      </c>
      <c r="C8" s="45" t="s">
        <v>28</v>
      </c>
      <c r="D8" s="47">
        <v>0</v>
      </c>
    </row>
    <row r="9" spans="1:4">
      <c r="A9" t="str">
        <f>$B$9&amp;"-"&amp;C9</f>
        <v>Moderado-PAPEL</v>
      </c>
      <c r="B9" t="s">
        <v>18</v>
      </c>
      <c r="C9" s="18" t="s">
        <v>23</v>
      </c>
      <c r="D9" s="39">
        <v>0.32</v>
      </c>
    </row>
    <row r="10" spans="1:4">
      <c r="A10" t="str">
        <f t="shared" ref="A10:A14" si="1">$B$9&amp;"-"&amp;C10</f>
        <v>Moderado-TIJOLO</v>
      </c>
      <c r="B10" t="s">
        <v>18</v>
      </c>
      <c r="C10" s="18" t="s">
        <v>24</v>
      </c>
      <c r="D10" s="39">
        <v>0.35</v>
      </c>
    </row>
    <row r="11" spans="1:4">
      <c r="A11" t="str">
        <f t="shared" si="1"/>
        <v>Moderado-HIBRIDOS</v>
      </c>
      <c r="B11" t="s">
        <v>18</v>
      </c>
      <c r="C11" s="18" t="s">
        <v>25</v>
      </c>
      <c r="D11" s="39">
        <v>0.08</v>
      </c>
    </row>
    <row r="12" spans="1:4">
      <c r="A12" t="str">
        <f t="shared" si="1"/>
        <v>Moderado-FOFs</v>
      </c>
      <c r="B12" t="s">
        <v>18</v>
      </c>
      <c r="C12" s="18" t="s">
        <v>26</v>
      </c>
      <c r="D12" s="39">
        <v>0.05</v>
      </c>
    </row>
    <row r="13" spans="1:4">
      <c r="A13" t="str">
        <f t="shared" si="1"/>
        <v>Moderado-DESENVOLVIMENTO</v>
      </c>
      <c r="B13" t="s">
        <v>18</v>
      </c>
      <c r="C13" s="18" t="s">
        <v>27</v>
      </c>
      <c r="D13" s="39">
        <v>0.1</v>
      </c>
    </row>
    <row r="14" spans="1:4">
      <c r="A14" s="44" t="str">
        <f t="shared" si="1"/>
        <v>Moderado-HOTELARIAS</v>
      </c>
      <c r="B14" s="44" t="s">
        <v>18</v>
      </c>
      <c r="C14" s="45" t="s">
        <v>28</v>
      </c>
      <c r="D14" s="47">
        <v>0.1</v>
      </c>
    </row>
    <row r="15" spans="1:4">
      <c r="A15" t="str">
        <f>$B$15&amp;"-"&amp;C15</f>
        <v>Agressivo-PAPEL</v>
      </c>
      <c r="B15" t="s">
        <v>32</v>
      </c>
      <c r="C15" s="18" t="s">
        <v>23</v>
      </c>
      <c r="D15" s="39">
        <v>0.5</v>
      </c>
    </row>
    <row r="16" spans="1:4">
      <c r="A16" t="str">
        <f t="shared" ref="A16:A20" si="2">$B$15&amp;"-"&amp;C16</f>
        <v>Agressivo-TIJOLO</v>
      </c>
      <c r="B16" t="s">
        <v>32</v>
      </c>
      <c r="C16" s="18" t="s">
        <v>24</v>
      </c>
      <c r="D16" s="39">
        <v>0.1</v>
      </c>
    </row>
    <row r="17" spans="1:4">
      <c r="A17" t="str">
        <f t="shared" si="2"/>
        <v>Agressivo-HIBRIDOS</v>
      </c>
      <c r="B17" t="s">
        <v>32</v>
      </c>
      <c r="C17" s="18" t="s">
        <v>25</v>
      </c>
      <c r="D17" s="39">
        <v>0.05</v>
      </c>
    </row>
    <row r="18" spans="1:4">
      <c r="A18" t="str">
        <f t="shared" si="2"/>
        <v>Agressivo-FOFs</v>
      </c>
      <c r="B18" t="s">
        <v>32</v>
      </c>
      <c r="C18" s="18" t="s">
        <v>26</v>
      </c>
      <c r="D18" s="39">
        <v>0.05</v>
      </c>
    </row>
    <row r="19" spans="1:4">
      <c r="A19" t="str">
        <f t="shared" si="2"/>
        <v>Agressivo-DESENVOLVIMENTO</v>
      </c>
      <c r="B19" t="s">
        <v>32</v>
      </c>
      <c r="C19" s="18" t="s">
        <v>27</v>
      </c>
      <c r="D19" s="39">
        <v>0.2</v>
      </c>
    </row>
    <row r="20" spans="1:4">
      <c r="A20" t="str">
        <f t="shared" si="2"/>
        <v>Agressivo-HOTELARIAS</v>
      </c>
      <c r="B20" t="s">
        <v>32</v>
      </c>
      <c r="C20" s="18" t="s">
        <v>28</v>
      </c>
      <c r="D20" s="39">
        <v>0.1</v>
      </c>
    </row>
  </sheetData>
  <dataValidations count="1">
    <dataValidation allowBlank="1" showInputMessage="1" showErrorMessage="1" sqref="B3:B8" xr:uid="{1097B8FB-1655-4390-A631-5C280BDD592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2026-04-24T13:05:21Z</dcterms:created>
  <dcterms:modified xsi:type="dcterms:W3CDTF">2026-04-24T19:24:58Z</dcterms:modified>
  <cp:category/>
  <cp:contentStatus/>
</cp:coreProperties>
</file>